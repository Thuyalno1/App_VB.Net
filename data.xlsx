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72" windowHeight="10188"/>
  </bookViews>
  <sheets>
    <sheet name="Trang_tí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<sst xmlns="http://schemas.openxmlformats.org/spreadsheetml/2006/main" count="32" uniqueCount="30">
  <si>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CÔNG TY TNHH NISON TECHNOLOGY (VIETNAM)</t>
  </si>
  <si>
    <t>PHIẾU THƯỞNG THÁNG 13</t>
  </si>
  <si>
    <t>Mã NV</t>
  </si>
  <si>
    <t xml:space="preserve"> Họ và Tên </t>
  </si>
  <si>
    <t xml:space="preserve"> Chức vụ </t>
  </si>
  <si>
    <t xml:space="preserve"> Phòng ban </t>
  </si>
  <si>
    <t>Ngày vào</t>
  </si>
  <si>
    <t>Hình Thức</t>
  </si>
  <si>
    <t xml:space="preserve"> Lương Cơ bản </t>
  </si>
  <si>
    <t xml:space="preserve"> Phụ Cấp Trách Nhiệm </t>
  </si>
  <si>
    <t xml:space="preserve"> Thưởng Tháng </t>
  </si>
  <si>
    <t xml:space="preserve"> Khấu trừ BHXH/BHYT/Thuế </t>
  </si>
  <si>
    <t xml:space="preserve"> Tổng cộng </t>
  </si>
  <si>
    <t xml:space="preserve"> THỰC NHẬN  </t>
  </si>
  <si>
    <t xml:space="preserve"> Số Buổi Chấm công </t>
  </si>
  <si>
    <t xml:space="preserve"> Email </t>
  </si>
  <si>
    <t xml:space="preserve"> Số Điện Thoại </t>
  </si>
  <si>
    <t xml:space="preserve"> VND </t>
  </si>
  <si>
    <t>IT_022</t>
  </si>
  <si>
    <t>Mai Văn Thủy</t>
  </si>
  <si>
    <t>Nhân Viên Kỹ Thuật Phầm Mềm</t>
  </si>
  <si>
    <t>IT</t>
  </si>
  <si>
    <t xml:space="preserve">Trực Tiếp </t>
  </si>
  <si>
    <t>Maivanthuyy@gmail.com</t>
  </si>
  <si>
    <t>IT_021</t>
  </si>
  <si>
    <t>Hoàng Quốc Trung</t>
  </si>
  <si>
    <t>Onsite</t>
  </si>
  <si>
    <t>18.000.00</t>
  </si>
  <si>
    <t>trunghq@gmail.com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</si>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</sst>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"/>
  </numFmts>
  <fonts count="30">
    <font>
      <sz val="11"/>
      <color theme="1"/>
      <name val="Calibri"/>
      <charset val="134"/>
      <scheme val="minor"/>
    </font>
    <font>
      <sz val="16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8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u/>
      <sz val="11"/>
      <color theme="1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4" fillId="0" borderId="0" xfId="0" applyFont="1" applyFill="1" applyBorder="1" applyAlignment="1"/>
    <xf numFmtId="0" fontId="4" fillId="0" borderId="2" xfId="0" applyFont="1" applyFill="1" applyBorder="1" applyAlignment="1"/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4" fillId="0" borderId="3" xfId="0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4" fillId="0" borderId="3" xfId="0" applyFont="1" applyFill="1" applyBorder="1" applyAlignment="1"/>
    <xf numFmtId="0" fontId="5" fillId="0" borderId="3" xfId="0" applyFont="1" applyFill="1" applyBorder="1" applyAlignment="1">
      <alignment wrapText="1"/>
    </xf>
    <xf numFmtId="0" fontId="6" fillId="0" borderId="3" xfId="0" applyFont="1" applyFill="1" applyBorder="1" applyAlignment="1">
      <alignment wrapText="1"/>
    </xf>
    <xf numFmtId="0" fontId="7" fillId="0" borderId="3" xfId="0" applyFont="1" applyFill="1" applyBorder="1" applyAlignment="1">
      <alignment wrapText="1"/>
    </xf>
    <xf numFmtId="0" fontId="8" fillId="0" borderId="3" xfId="0" applyFont="1" applyFill="1" applyBorder="1" applyAlignment="1">
      <alignment wrapText="1"/>
    </xf>
    <xf numFmtId="0" fontId="3" fillId="0" borderId="4" xfId="0" applyFont="1" applyFill="1" applyBorder="1" applyAlignment="1"/>
    <xf numFmtId="0" fontId="3" fillId="0" borderId="4" xfId="0" applyFont="1" applyFill="1" applyBorder="1" applyAlignment="1">
      <alignment wrapText="1"/>
    </xf>
    <xf numFmtId="178" fontId="3" fillId="0" borderId="4" xfId="0" applyNumberFormat="1" applyFont="1" applyFill="1" applyBorder="1" applyAlignment="1"/>
    <xf numFmtId="3" fontId="3" fillId="0" borderId="4" xfId="0" applyNumberFormat="1" applyFont="1" applyFill="1" applyBorder="1" applyAlignment="1"/>
    <xf numFmtId="0" fontId="9" fillId="0" borderId="4" xfId="49" applyFill="1" applyBorder="1" applyAlignment="1"/>
    <xf numFmtId="58" fontId="3" fillId="0" borderId="4" xfId="0" applyNumberFormat="1" applyFont="1" applyFill="1" applyBorder="1" applyAlignment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C31:C32" insertRow="1" totalsRowShown="0">
  <autoFilter xmlns:etc="http://www.wps.cn/officeDocument/2017/etCustomData" ref="C31:C32" etc:filterBottomFollowUsedRange="0"/>
  <tableColumns count="1">
    <tableColumn id="1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unghq@gmail.com" TargetMode="External"/><Relationship Id="rId2" Type="http://schemas.openxmlformats.org/officeDocument/2006/relationships/hyperlink" Target="mailto:Maivanthuyy@gmail.com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P31"/>
  <sheetViews>
    <sheetView tabSelected="1" zoomScale="75" zoomScaleNormal="75" topLeftCell="B1" workbookViewId="0">
      <selection activeCell="M24" sqref="M24"/>
    </sheetView>
  </sheetViews>
  <sheetFormatPr defaultColWidth="9" defaultRowHeight="14.4"/>
  <cols>
    <col min="2" max="2" width="36.5740740740741" customWidth="1"/>
    <col min="3" max="3" width="23.4259259259259" customWidth="1"/>
    <col min="4" max="4" width="9.57407407407407" customWidth="1"/>
    <col min="12" max="12" width="9.11111111111111"/>
    <col min="14" max="14" width="23.1388888888889" customWidth="1"/>
    <col min="15" max="15" width="15.4259259259259" customWidth="1"/>
  </cols>
  <sheetData>
    <row r="6" ht="61.2" spans="1:16">
      <c r="A6" s="1"/>
      <c r="B6" s="2" t="s">
        <v>0</v>
      </c>
      <c r="C6" s="3"/>
      <c r="D6" s="3"/>
      <c r="E6" s="3"/>
      <c r="F6" s="3"/>
      <c r="G6" s="3"/>
      <c r="H6" s="3"/>
      <c r="I6" s="3"/>
      <c r="J6" s="1"/>
      <c r="K6" s="1"/>
      <c r="L6" s="1"/>
      <c r="M6" s="1"/>
      <c r="N6" s="1"/>
      <c r="O6" s="1"/>
      <c r="P6" s="1"/>
    </row>
    <row r="7" ht="21" spans="1:16">
      <c r="A7" s="2" t="s">
        <v>1</v>
      </c>
      <c r="B7" s="2"/>
      <c r="C7" s="2"/>
      <c r="D7" s="2"/>
      <c r="E7" s="2"/>
      <c r="F7" s="2"/>
      <c r="G7" s="2"/>
      <c r="H7" s="2"/>
      <c r="I7" s="2"/>
      <c r="J7" s="1"/>
      <c r="K7" s="1"/>
      <c r="L7" s="1"/>
      <c r="M7" s="1"/>
      <c r="N7" s="1"/>
      <c r="O7" s="1"/>
      <c r="P7" s="1"/>
    </row>
    <row r="8" ht="15" customHeight="1" spans="1:16">
      <c r="A8" s="3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6" t="s">
        <v>2</v>
      </c>
      <c r="B10" s="7" t="s">
        <v>3</v>
      </c>
      <c r="C10" s="7" t="s">
        <v>4</v>
      </c>
      <c r="D10" s="6" t="s">
        <v>5</v>
      </c>
      <c r="E10" s="8" t="s">
        <v>6</v>
      </c>
      <c r="F10" s="8" t="s">
        <v>7</v>
      </c>
      <c r="G10" s="9" t="s">
        <v>8</v>
      </c>
      <c r="H10" s="9" t="s">
        <v>9</v>
      </c>
      <c r="I10" s="9" t="s">
        <v>10</v>
      </c>
      <c r="J10" s="7" t="s">
        <v>11</v>
      </c>
      <c r="K10" s="7" t="s">
        <v>12</v>
      </c>
      <c r="L10" s="7" t="s">
        <v>13</v>
      </c>
      <c r="M10" s="7" t="s">
        <v>14</v>
      </c>
      <c r="N10" s="7" t="s">
        <v>15</v>
      </c>
      <c r="O10" s="7" t="s">
        <v>16</v>
      </c>
      <c r="P10" s="10"/>
    </row>
    <row r="11" spans="1:16">
      <c r="A11" s="11"/>
      <c r="B11" s="12"/>
      <c r="C11" s="12"/>
      <c r="D11" s="11"/>
      <c r="E11" s="13"/>
      <c r="F11" s="13"/>
      <c r="G11" s="14"/>
      <c r="H11" s="14"/>
      <c r="I11" s="14"/>
      <c r="J11" s="12"/>
      <c r="K11" s="12"/>
      <c r="L11" s="12"/>
      <c r="M11" s="12"/>
      <c r="N11" s="12"/>
      <c r="O11" s="12"/>
      <c r="P11" s="10"/>
    </row>
    <row r="12" spans="1:16">
      <c r="A12" s="11"/>
      <c r="B12" s="12"/>
      <c r="C12" s="12"/>
      <c r="D12" s="11"/>
      <c r="E12" s="13"/>
      <c r="F12" s="13"/>
      <c r="G12" s="14"/>
      <c r="H12" s="14"/>
      <c r="I12" s="14"/>
      <c r="J12" s="15"/>
      <c r="K12" s="15"/>
      <c r="L12" s="15"/>
      <c r="M12" s="15"/>
      <c r="N12" s="15"/>
      <c r="O12" s="15"/>
      <c r="P12" s="10"/>
    </row>
    <row r="13" spans="1:16">
      <c r="A13" s="11"/>
      <c r="B13" s="12"/>
      <c r="C13" s="12"/>
      <c r="D13" s="11"/>
      <c r="E13" s="13"/>
      <c r="F13" s="13"/>
      <c r="G13" s="14"/>
      <c r="H13" s="14"/>
      <c r="I13" s="14"/>
      <c r="J13" s="16"/>
      <c r="K13" s="16"/>
      <c r="L13" s="16" t="s">
        <v>17</v>
      </c>
      <c r="M13" s="16"/>
      <c r="N13" s="16"/>
      <c r="O13" s="17"/>
      <c r="P13" s="10"/>
    </row>
    <row r="14" spans="1:16">
      <c r="A14" s="18"/>
      <c r="B14" s="15"/>
      <c r="C14" s="15"/>
      <c r="D14" s="18"/>
      <c r="E14" s="19"/>
      <c r="F14" s="19"/>
      <c r="G14" s="20"/>
      <c r="H14" s="20"/>
      <c r="I14" s="20"/>
      <c r="J14" s="21"/>
      <c r="K14" s="21"/>
      <c r="L14" s="21"/>
      <c r="M14" s="21"/>
      <c r="N14" s="21"/>
      <c r="O14" s="22"/>
      <c r="P14" s="10"/>
    </row>
    <row r="15" spans="1:16">
      <c r="A15" s="23" t="s">
        <v>18</v>
      </c>
      <c r="B15" s="24" t="s">
        <v>19</v>
      </c>
      <c r="C15" s="23" t="s">
        <v>20</v>
      </c>
      <c r="D15" s="23" t="s">
        <v>21</v>
      </c>
      <c r="E15" s="25">
        <f>DATE(2026,2,2)</f>
        <v>46055</v>
      </c>
      <c r="F15" s="23" t="s">
        <v>22</v>
      </c>
      <c r="G15" s="26">
        <v>14000000</v>
      </c>
      <c r="H15" s="26">
        <v>1000000</v>
      </c>
      <c r="I15" s="26">
        <v>1400000</v>
      </c>
      <c r="J15" s="26">
        <v>1546000</v>
      </c>
      <c r="K15" s="26">
        <v>14854000</v>
      </c>
      <c r="L15" s="26">
        <v>14854000</v>
      </c>
      <c r="M15" s="23">
        <v>22</v>
      </c>
      <c r="N15" s="27" t="s">
        <v>23</v>
      </c>
      <c r="O15" s="23">
        <v>373882235</v>
      </c>
      <c r="P15" s="4"/>
    </row>
    <row r="16" spans="1:16">
      <c r="A16" s="23" t="s">
        <v>24</v>
      </c>
      <c r="B16" s="24" t="s">
        <v>25</v>
      </c>
      <c r="C16" s="23" t="s">
        <v>20</v>
      </c>
      <c r="D16" s="23" t="s">
        <v>21</v>
      </c>
      <c r="E16" s="28">
        <f>DATE(2025,7,7)</f>
        <v>45845</v>
      </c>
      <c r="F16" s="23" t="s">
        <v>26</v>
      </c>
      <c r="G16" s="26">
        <v>16000000</v>
      </c>
      <c r="H16" s="26">
        <v>1500000</v>
      </c>
      <c r="I16" s="26">
        <v>3500000</v>
      </c>
      <c r="J16" s="26">
        <v>2000000</v>
      </c>
      <c r="K16" s="23" t="s">
        <v>27</v>
      </c>
      <c r="L16" s="26">
        <v>19000000</v>
      </c>
      <c r="M16" s="23">
        <v>22</v>
      </c>
      <c r="N16" s="27" t="s">
        <v>28</v>
      </c>
      <c r="O16" s="23">
        <v>998765555</v>
      </c>
      <c r="P16" s="4"/>
    </row>
    <row r="17" spans="1:16">
      <c r="A17" s="29"/>
      <c r="B17" s="30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31" spans="1:16">
      <c r="C31" t="s">
        <v>29</v>
      </c>
    </row>
  </sheetData>
  <mergeCells count="23">
    <mergeCell ref="A7:I7"/>
    <mergeCell ref="D8:G8"/>
    <mergeCell ref="A10:A14"/>
    <mergeCell ref="B10:B14"/>
    <mergeCell ref="C10:C14"/>
    <mergeCell ref="D10:D14"/>
    <mergeCell ref="E10:E14"/>
    <mergeCell ref="F10:F14"/>
    <mergeCell ref="G10:G14"/>
    <mergeCell ref="H10:H14"/>
    <mergeCell ref="I10:I14"/>
    <mergeCell ref="J10:J12"/>
    <mergeCell ref="J13:J14"/>
    <mergeCell ref="K10:K12"/>
    <mergeCell ref="K13:K14"/>
    <mergeCell ref="L10:L12"/>
    <mergeCell ref="L13:L14"/>
    <mergeCell ref="M10:M12"/>
    <mergeCell ref="M13:M14"/>
    <mergeCell ref="N10:N12"/>
    <mergeCell ref="N13:N14"/>
    <mergeCell ref="O10:O12"/>
    <mergeCell ref="O13:O14"/>
  </mergeCells>
  <hyperlinks>
    <hyperlink ref="N15" r:id="rId2" display="Maivanthuyy@gmail.com"/>
    <hyperlink ref="N16" r:id="rId3" display="trunghq@gmail.com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Trang_tính1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2026-03-13T08:49:00Z</dcterms:created>
  <dcterms:modified xsi:type="dcterms:W3CDTF">2026-03-23T10:17:07Z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F17D294D588A4937A088D4CD5127F83E_13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